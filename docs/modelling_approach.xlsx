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htorr/Documents/Repos/neural_networks_project_hdm/docs/"/>
    </mc:Choice>
  </mc:AlternateContent>
  <xr:revisionPtr revIDLastSave="0" documentId="13_ncr:1_{FAE46E32-8A35-E544-A2CA-B9D5D6535A30}" xr6:coauthVersionLast="47" xr6:coauthVersionMax="47" xr10:uidLastSave="{00000000-0000-0000-0000-000000000000}"/>
  <bookViews>
    <workbookView xWindow="0" yWindow="760" windowWidth="34560" windowHeight="21580" activeTab="1" xr2:uid="{234F4985-7325-E745-815C-EBE544E9734D}"/>
  </bookViews>
  <sheets>
    <sheet name="Tabelle1" sheetId="1" r:id="rId1"/>
    <sheet name="Tabelle6" sheetId="6" r:id="rId2"/>
    <sheet name="Tabelle4" sheetId="4" r:id="rId3"/>
    <sheet name="Tabelle5" sheetId="5" r:id="rId4"/>
    <sheet name="Tabelle2" sheetId="2" r:id="rId5"/>
    <sheet name="Tabelle3" sheetId="3" r:id="rId6"/>
  </sheets>
  <definedNames>
    <definedName name="_xlnm._FilterDatabase" localSheetId="3" hidden="1">Tabelle5!$A$1:$I$1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0" i="6" l="1"/>
  <c r="Q32" i="6"/>
  <c r="Q26" i="6"/>
  <c r="Q24" i="6"/>
  <c r="M24" i="6"/>
  <c r="G30" i="6"/>
  <c r="C30" i="6"/>
  <c r="G32" i="6"/>
  <c r="G26" i="6"/>
  <c r="G24" i="6"/>
  <c r="C24" i="6"/>
</calcChain>
</file>

<file path=xl/sharedStrings.xml><?xml version="1.0" encoding="utf-8"?>
<sst xmlns="http://schemas.openxmlformats.org/spreadsheetml/2006/main" count="390" uniqueCount="109">
  <si>
    <t>Date</t>
  </si>
  <si>
    <t>ts_key</t>
  </si>
  <si>
    <t>Value</t>
  </si>
  <si>
    <t>A-Klasse</t>
  </si>
  <si>
    <t>Date1</t>
  </si>
  <si>
    <t>Date2</t>
  </si>
  <si>
    <t>X</t>
  </si>
  <si>
    <t>GOLF</t>
  </si>
  <si>
    <t>Year</t>
  </si>
  <si>
    <t>Month</t>
  </si>
  <si>
    <t>GDP</t>
  </si>
  <si>
    <t xml:space="preserve">Price </t>
  </si>
  <si>
    <t>x</t>
  </si>
  <si>
    <t>Univariate</t>
  </si>
  <si>
    <t>mit Einflussfaktoren</t>
  </si>
  <si>
    <t>ohne Einflussfaktoren</t>
  </si>
  <si>
    <t>Model</t>
  </si>
  <si>
    <t>Train</t>
  </si>
  <si>
    <t>test</t>
  </si>
  <si>
    <t>Embargo</t>
  </si>
  <si>
    <t>Validation</t>
  </si>
  <si>
    <t>[</t>
  </si>
  <si>
    <t>]</t>
  </si>
  <si>
    <t>[1302.4]</t>
  </si>
  <si>
    <t xml:space="preserve">Univariate Timeseries Using One-Hot-Enconding </t>
  </si>
  <si>
    <t>        = (6, Value + Time Features + Exogenous Variables + n_timeseries)</t>
  </si>
  <si>
    <r>
      <rPr>
        <b/>
        <sz val="10"/>
        <color theme="1"/>
        <rFont val="Arial Unicode MS"/>
        <family val="2"/>
      </rPr>
      <t>X.shape</t>
    </r>
    <r>
      <rPr>
        <sz val="10"/>
        <color theme="1"/>
        <rFont val="Arial Unicode MS"/>
        <family val="2"/>
      </rPr>
      <t> = (seq_length, n_features_total)</t>
    </r>
  </si>
  <si>
    <r>
      <rPr>
        <b/>
        <sz val="10"/>
        <color theme="1"/>
        <rFont val="Arial Unicode MS"/>
        <family val="2"/>
      </rPr>
      <t>y.shape</t>
    </r>
    <r>
      <rPr>
        <sz val="10"/>
        <color theme="1"/>
        <rFont val="Arial Unicode MS"/>
        <family val="2"/>
      </rPr>
      <t> = (1,)</t>
    </r>
  </si>
  <si>
    <t>Each sample represents ONE timeseries at ONE time window</t>
  </si>
  <si>
    <t>Target y (timestep t+1+embargo):</t>
  </si>
  <si>
    <t>Multivariate Timeseries Using Flattenned-Batch Approach</t>
  </si>
  <si>
    <t>        = (6, 4002)</t>
  </si>
  <si>
    <t>[y_0, y_1, y_2, ..., y_999]</t>
  </si>
  <si>
    <t>        = (6, 1 + 2 + 24 + 1502)   </t>
  </si>
  <si>
    <t>Target y (all series at timestep t+1+embargo):</t>
  </si>
  <si>
    <t>        = (6, 1502 + 1502*24 + 2)</t>
  </si>
  <si>
    <t>  [val_0, val_1, ..., val_999, gdp_0, ..., gdp_999, cpi_0, ..., 2023, 2],  # t-4</t>
  </si>
  <si>
    <t>  [val_0, val_1, ..., val_999, gdp_0, ..., gdp_999, cpi_0, ..., 2023, 3],  # t-3</t>
  </si>
  <si>
    <t>  [val_0, val_1, ..., val_999, gdp_0, ..., gdp_999, cpi_0, …, 2023, 1],  # t-5</t>
  </si>
  <si>
    <t>  [val_0, val_1, ..., val_999, gdp_0, ..., gdp_999, cpi_0, ..., 2023, 4],  # t-2</t>
  </si>
  <si>
    <t>  [val_0, val_1, ..., val_999, gdp_0, ..., gdp_999, cpi_0, ..., 2023, 5],  # t-1</t>
  </si>
  <si>
    <t>  [val_0, val_1, ..., val_999, gdp_0, ..., gdp_999, cpi_0, ..., 2023, 6]   # t</t>
  </si>
  <si>
    <t>Example X for ONE Timeseries (timestep t-5 to t):</t>
  </si>
  <si>
    <t>Example X for ALL timeseries (timestep t-5 to t):</t>
  </si>
  <si>
    <t>  ...</t>
  </si>
  <si>
    <t>[1302.4, 2433.9, 3591.4, ..., 10096]</t>
  </si>
  <si>
    <r>
      <rPr>
        <b/>
        <sz val="10"/>
        <color theme="1"/>
        <rFont val="Arial Unicode MS"/>
        <family val="2"/>
      </rPr>
      <t>X.shape </t>
    </r>
    <r>
      <rPr>
        <sz val="10"/>
        <color theme="1"/>
        <rFont val="Arial Unicode MS"/>
        <family val="2"/>
      </rPr>
      <t>= (n_series, seq_length, n_features)</t>
    </r>
  </si>
  <si>
    <t>Multivariate Timeseries Using Vectorized Approach</t>
  </si>
  <si>
    <t xml:space="preserve">Each sample represents ALL timeseries at ONE time window, Batch with one extended dimension for GPU parallelization. </t>
  </si>
  <si>
    <r>
      <rPr>
        <b/>
        <sz val="10"/>
        <color theme="1"/>
        <rFont val="Arial Unicode MS"/>
        <family val="2"/>
      </rPr>
      <t>y.shape</t>
    </r>
    <r>
      <rPr>
        <sz val="10"/>
        <color theme="1"/>
        <rFont val="Arial Unicode MS"/>
        <family val="2"/>
      </rPr>
      <t> = (1502,)</t>
    </r>
  </si>
  <si>
    <t>Example X for ALL timeseries (series dimension first):</t>
  </si>
  <si>
    <t xml:space="preserve">Each sample represents ALL timeseries at ONE time window. All series flattened per time window. </t>
  </si>
  <si>
    <t>  [[val_0, gdp_0,…, cpi_0], ..., [[val_5, gdp_5,…, cpi_5]]],  # Series 0: t-5 to t</t>
  </si>
  <si>
    <t>  [[val_0, gdp_0,…, cpi_0], ..., [[val_5, gdp_5,…, cpi_5]]],  # Series 1: t-5 to t</t>
  </si>
  <si>
    <t>  [[val_0, gdp_0,…, cpi_0], ..., [[val_5, gdp_5,…, cpi_5]]],  # Series 2: t-5 to t</t>
  </si>
  <si>
    <t>  [[val_0, gdp_0,…, cpi_0], ..., [[val_5, gdp_5,…, cpi_5]]]     # Series 1501: t-5 to t</t>
  </si>
  <si>
    <t>  [val_(t-5), gdp, cpi, … , 2023, 1, …, 1, 0],  # t-5</t>
  </si>
  <si>
    <t>  [val_(t-4), gdp, cpi, … , 2023, 2, …, 1, 0],  # t-4</t>
  </si>
  <si>
    <t>  [val_(t-3), gdp, cpi, …, 2023, 3, …, 1, 0],  # t-3</t>
  </si>
  <si>
    <t>  [val_(t-2), gdp, cpi, …, 2023, 4, …, 1, 0],  # t-2</t>
  </si>
  <si>
    <t>  [val_(t-1), gdp, cpi, …, 2023, 5, …, 1, 0],  # t-1</t>
  </si>
  <si>
    <t>  [val_(t).  , gdp, cpi, …, 2023, 6, …, 1, 0],  # t</t>
  </si>
  <si>
    <t>        = (1502, 6, n_features)</t>
  </si>
  <si>
    <t>MSE</t>
  </si>
  <si>
    <t>Exog</t>
  </si>
  <si>
    <t>Fold1</t>
  </si>
  <si>
    <t>RMSE</t>
  </si>
  <si>
    <t>MAE</t>
  </si>
  <si>
    <t>R2</t>
  </si>
  <si>
    <t>SMAPE</t>
  </si>
  <si>
    <r>
      <t xml:space="preserve">- </t>
    </r>
    <r>
      <rPr>
        <b/>
        <sz val="12"/>
        <color theme="1"/>
        <rFont val="Menlo"/>
        <family val="2"/>
      </rPr>
      <t>**MLP**</t>
    </r>
    <r>
      <rPr>
        <sz val="12"/>
        <color theme="1"/>
        <rFont val="Menlo"/>
        <family val="2"/>
      </rPr>
      <t>: Multi-Layer Perceptron (fully connected feedforward network)</t>
    </r>
  </si>
  <si>
    <r>
      <t xml:space="preserve">- </t>
    </r>
    <r>
      <rPr>
        <b/>
        <sz val="12"/>
        <color theme="1"/>
        <rFont val="Menlo"/>
        <family val="2"/>
      </rPr>
      <t>**RNN**</t>
    </r>
    <r>
      <rPr>
        <sz val="12"/>
        <color theme="1"/>
        <rFont val="Menlo"/>
        <family val="2"/>
      </rPr>
      <t>: Recurrent Neural Network (vanilla architecture with recurrent connections)</t>
    </r>
  </si>
  <si>
    <r>
      <t xml:space="preserve">- </t>
    </r>
    <r>
      <rPr>
        <b/>
        <sz val="12"/>
        <color theme="1"/>
        <rFont val="Menlo"/>
        <family val="2"/>
      </rPr>
      <t>**LSTM**</t>
    </r>
    <r>
      <rPr>
        <sz val="12"/>
        <color theme="1"/>
        <rFont val="Menlo"/>
        <family val="2"/>
      </rPr>
      <t>: Long Short-Term Memory (RNN with gating mechanisms for long-term dependencies)</t>
    </r>
  </si>
  <si>
    <r>
      <t xml:space="preserve">- </t>
    </r>
    <r>
      <rPr>
        <b/>
        <sz val="12"/>
        <color theme="1"/>
        <rFont val="Menlo"/>
        <family val="2"/>
      </rPr>
      <t>**GRU**</t>
    </r>
    <r>
      <rPr>
        <sz val="12"/>
        <color theme="1"/>
        <rFont val="Menlo"/>
        <family val="2"/>
      </rPr>
      <t>: Gated Recurrent Unit (simplified LSTM variant with fewer parameters)</t>
    </r>
  </si>
  <si>
    <r>
      <t xml:space="preserve">- </t>
    </r>
    <r>
      <rPr>
        <b/>
        <sz val="12"/>
        <color theme="1"/>
        <rFont val="Menlo"/>
        <family val="2"/>
      </rPr>
      <t>**Transformer**</t>
    </r>
    <r>
      <rPr>
        <sz val="12"/>
        <color theme="1"/>
        <rFont val="Menlo"/>
        <family val="2"/>
      </rPr>
      <t>: Self-attention-based architecture for sequence modeling</t>
    </r>
  </si>
  <si>
    <r>
      <t xml:space="preserve">- </t>
    </r>
    <r>
      <rPr>
        <b/>
        <sz val="12"/>
        <color theme="1"/>
        <rFont val="Menlo"/>
        <family val="2"/>
      </rPr>
      <t>**CNN1D**</t>
    </r>
    <r>
      <rPr>
        <sz val="12"/>
        <color theme="1"/>
        <rFont val="Menlo"/>
        <family val="2"/>
      </rPr>
      <t>: One-Dimensional Convolutional Neural Network (temporal pattern extraction)</t>
    </r>
  </si>
  <si>
    <r>
      <t xml:space="preserve">- </t>
    </r>
    <r>
      <rPr>
        <b/>
        <sz val="12"/>
        <color theme="1"/>
        <rFont val="Menlo"/>
        <family val="2"/>
      </rPr>
      <t>**N-BEATS**</t>
    </r>
    <r>
      <rPr>
        <sz val="12"/>
        <color theme="1"/>
        <rFont val="Menlo"/>
        <family val="2"/>
      </rPr>
      <t>: Neural Basis Expansion Analysis for Time Series (interpretable deep learning)</t>
    </r>
  </si>
  <si>
    <r>
      <t xml:space="preserve">- </t>
    </r>
    <r>
      <rPr>
        <b/>
        <sz val="12"/>
        <color theme="1"/>
        <rFont val="Menlo"/>
        <family val="2"/>
      </rPr>
      <t>**N-BEATSx**</t>
    </r>
    <r>
      <rPr>
        <sz val="12"/>
        <color theme="1"/>
        <rFont val="Menlo"/>
        <family val="2"/>
      </rPr>
      <t>: N-BEATS with exogenous variable support</t>
    </r>
  </si>
  <si>
    <t>Approach</t>
  </si>
  <si>
    <t>Features</t>
  </si>
  <si>
    <t>Uni</t>
  </si>
  <si>
    <t>Multi</t>
  </si>
  <si>
    <t>no Exog</t>
  </si>
  <si>
    <t>MLP</t>
  </si>
  <si>
    <t>RNN</t>
  </si>
  <si>
    <t>LSTM</t>
  </si>
  <si>
    <t>GRU</t>
  </si>
  <si>
    <t>Transformer</t>
  </si>
  <si>
    <t>CNN1D</t>
  </si>
  <si>
    <t>N-BEATS</t>
  </si>
  <si>
    <t>N-BEATSx</t>
  </si>
  <si>
    <t>Fold</t>
  </si>
  <si>
    <t>Fold2</t>
  </si>
  <si>
    <t>Fold3</t>
  </si>
  <si>
    <t>Average</t>
  </si>
  <si>
    <t>index</t>
  </si>
  <si>
    <t>werte</t>
  </si>
  <si>
    <t>seq_0</t>
  </si>
  <si>
    <t>embargo</t>
  </si>
  <si>
    <t>y</t>
  </si>
  <si>
    <t>n_seq</t>
  </si>
  <si>
    <t>=</t>
  </si>
  <si>
    <t>n_ts</t>
  </si>
  <si>
    <t>seq_len = 6</t>
  </si>
  <si>
    <t>Anzahl Werte</t>
  </si>
  <si>
    <t>Unser</t>
  </si>
  <si>
    <t>seq_ptr</t>
  </si>
  <si>
    <t>ind_ptr</t>
  </si>
  <si>
    <t xml:space="preserve"> = [0,5,…]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</si>
</sst>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Aptos Narrow"/>
      <family val="2"/>
      <scheme val="minor"/>
    </font>
    <font>
      <sz val="12"/>
      <color theme="1"/>
      <name val="Cambria"/>
      <family val="1"/>
    </font>
    <font>
      <sz val="10"/>
      <color theme="1"/>
      <name val="Cambria"/>
      <family val="1"/>
    </font>
    <font>
      <sz val="10"/>
      <color rgb="FF00B050"/>
      <name val="Cambria"/>
      <family val="1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0"/>
      <color theme="1"/>
      <name val="Arial Unicode MS"/>
      <family val="2"/>
    </font>
    <font>
      <sz val="9"/>
      <color theme="1"/>
      <name val="Aptos Narrow (Textkörper)"/>
    </font>
    <font>
      <sz val="12"/>
      <color theme="1"/>
      <name val="Menlo"/>
      <family val="2"/>
    </font>
    <font>
      <b/>
      <sz val="12"/>
      <color theme="1"/>
      <name val="Menlo"/>
      <family val="2"/>
    </font>
    <font>
      <sz val="8"/>
      <name val="Aptos Narrow"/>
      <family val="2"/>
      <scheme val="minor"/>
    </font>
    <font>
      <b/>
      <sz val="12"/>
      <color rgb="FF000000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2" fillId="4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3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0" xfId="0" applyFont="1"/>
    <xf numFmtId="0" fontId="3" fillId="3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Alignment="1">
      <alignment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left" vertical="top"/>
    </xf>
    <xf numFmtId="0" fontId="8" fillId="0" borderId="0" xfId="0" applyFont="1"/>
    <xf numFmtId="0" fontId="7" fillId="0" borderId="0" xfId="0" applyFont="1" applyAlignment="1">
      <alignment horizontal="left" wrapText="1"/>
    </xf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  <xf numFmtId="1" fontId="0" fillId="0" borderId="0" xfId="0" applyNumberFormat="1"/>
    <xf numFmtId="0" fontId="11" fillId="0" borderId="0" xfId="0" applyFont="1"/>
    <xf numFmtId="0" fontId="0" fillId="0" borderId="0" xfId="0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270935</xdr:colOff>
      <xdr:row>14</xdr:row>
      <xdr:rowOff>135466</xdr:rowOff>
    </xdr:from>
    <xdr:to>
      <xdr:col>2</xdr:col>
      <xdr:colOff>406401</xdr:colOff>
      <xdr:row>15</xdr:row>
      <xdr:rowOff>177799</xdr:rowOff>
    </xdr:to>
    <xdr:sp macro="" textlink="">
      <xdr:nvSpPr>
        <xdr:cNvPr id="4" name="Pfeil nach unten 3">
          <a:extLst>
            <a:ext uri="{FF2B5EF4-FFF2-40B4-BE49-F238E27FC236}">
              <a16:creationId xmlns:a16="http://schemas.microsoft.com/office/drawing/2014/main" id="{8EE05022-2A31-2E4B-B19B-0B535C6351D1}"/>
            </a:ext>
          </a:extLst>
        </xdr:cNvPr>
        <xdr:cNvSpPr/>
      </xdr:nvSpPr>
      <xdr:spPr>
        <a:xfrm>
          <a:off x="1930402" y="2980266"/>
          <a:ext cx="135466" cy="24553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2</xdr:col>
      <xdr:colOff>270934</xdr:colOff>
      <xdr:row>7</xdr:row>
      <xdr:rowOff>118534</xdr:rowOff>
    </xdr:from>
    <xdr:to>
      <xdr:col>2</xdr:col>
      <xdr:colOff>414867</xdr:colOff>
      <xdr:row>8</xdr:row>
      <xdr:rowOff>152400</xdr:rowOff>
    </xdr:to>
    <xdr:sp macro="" textlink="">
      <xdr:nvSpPr>
        <xdr:cNvPr id="5" name="Pfeil nach unten 4">
          <a:extLst>
            <a:ext uri="{FF2B5EF4-FFF2-40B4-BE49-F238E27FC236}">
              <a16:creationId xmlns:a16="http://schemas.microsoft.com/office/drawing/2014/main" id="{EA6AE02D-97A8-9B40-927A-E648ADB9A629}"/>
            </a:ext>
          </a:extLst>
        </xdr:cNvPr>
        <xdr:cNvSpPr/>
      </xdr:nvSpPr>
      <xdr:spPr>
        <a:xfrm>
          <a:off x="1930401" y="1540934"/>
          <a:ext cx="143933" cy="23706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7</xdr:col>
      <xdr:colOff>101601</xdr:colOff>
      <xdr:row>7</xdr:row>
      <xdr:rowOff>101600</xdr:rowOff>
    </xdr:from>
    <xdr:to>
      <xdr:col>7</xdr:col>
      <xdr:colOff>245534</xdr:colOff>
      <xdr:row>8</xdr:row>
      <xdr:rowOff>135466</xdr:rowOff>
    </xdr:to>
    <xdr:sp macro="" textlink="">
      <xdr:nvSpPr>
        <xdr:cNvPr id="6" name="Pfeil nach unten 5">
          <a:extLst>
            <a:ext uri="{FF2B5EF4-FFF2-40B4-BE49-F238E27FC236}">
              <a16:creationId xmlns:a16="http://schemas.microsoft.com/office/drawing/2014/main" id="{46BC2B52-E61B-5D46-BF13-FD57AC111AA8}"/>
            </a:ext>
          </a:extLst>
        </xdr:cNvPr>
        <xdr:cNvSpPr/>
      </xdr:nvSpPr>
      <xdr:spPr>
        <a:xfrm>
          <a:off x="3826934" y="1524000"/>
          <a:ext cx="143933" cy="23706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  <xdr:twoCellAnchor>
    <xdr:from>
      <xdr:col>7</xdr:col>
      <xdr:colOff>177801</xdr:colOff>
      <xdr:row>14</xdr:row>
      <xdr:rowOff>135467</xdr:rowOff>
    </xdr:from>
    <xdr:to>
      <xdr:col>7</xdr:col>
      <xdr:colOff>321734</xdr:colOff>
      <xdr:row>15</xdr:row>
      <xdr:rowOff>169333</xdr:rowOff>
    </xdr:to>
    <xdr:sp macro="" textlink="">
      <xdr:nvSpPr>
        <xdr:cNvPr id="7" name="Pfeil nach unten 6">
          <a:extLst>
            <a:ext uri="{FF2B5EF4-FFF2-40B4-BE49-F238E27FC236}">
              <a16:creationId xmlns:a16="http://schemas.microsoft.com/office/drawing/2014/main" id="{F2B71319-EBBE-B740-9857-56ACB4397BBD}"/>
            </a:ext>
          </a:extLst>
        </xdr:cNvPr>
        <xdr:cNvSpPr/>
      </xdr:nvSpPr>
      <xdr:spPr>
        <a:xfrm>
          <a:off x="3903134" y="2980267"/>
          <a:ext cx="143933" cy="237066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64023-9D77-A249-8041-873460035956}">
  <dimension ref="B4:L34"/>
  <sheetViews>
    <sheetView topLeftCell="A31" zoomScale="170" zoomScaleNormal="236" workbookViewId="0">
      <selection activeCell="L22" sqref="L21:L28"/>
    </sheetView>
  </sheetViews>
  <sheetFormatPr baseColWidth="10" defaultRowHeight="16" x14ac:dyDescent="0.2"/>
  <cols>
    <col min="2" max="2" width="13.5" customWidth="1"/>
    <col min="3" max="3" width="9.83203125" customWidth="1"/>
    <col min="4" max="4" width="7.83203125" customWidth="1"/>
  </cols>
  <sheetData>
    <row r="4" spans="2:12" x14ac:dyDescent="0.2">
      <c r="B4" t="s">
        <v>0</v>
      </c>
      <c r="E4" t="s">
        <v>1</v>
      </c>
      <c r="F4" t="s">
        <v>2</v>
      </c>
    </row>
    <row r="5" spans="2:12" x14ac:dyDescent="0.2">
      <c r="B5" t="s">
        <v>4</v>
      </c>
      <c r="E5" t="s">
        <v>3</v>
      </c>
      <c r="F5" t="s">
        <v>6</v>
      </c>
    </row>
    <row r="6" spans="2:12" x14ac:dyDescent="0.2">
      <c r="B6" t="s">
        <v>5</v>
      </c>
      <c r="E6" t="s">
        <v>3</v>
      </c>
      <c r="F6" t="s">
        <v>6</v>
      </c>
    </row>
    <row r="7" spans="2:12" x14ac:dyDescent="0.2">
      <c r="B7" t="s">
        <v>4</v>
      </c>
      <c r="E7" t="s">
        <v>7</v>
      </c>
      <c r="F7" t="s">
        <v>6</v>
      </c>
    </row>
    <row r="8" spans="2:12" x14ac:dyDescent="0.2">
      <c r="B8" t="s">
        <v>5</v>
      </c>
      <c r="E8" t="s">
        <v>7</v>
      </c>
      <c r="F8" t="s">
        <v>6</v>
      </c>
    </row>
    <row r="10" spans="2:12" x14ac:dyDescent="0.2">
      <c r="B10" t="s">
        <v>0</v>
      </c>
      <c r="F10" t="s">
        <v>2</v>
      </c>
      <c r="G10" t="s">
        <v>3</v>
      </c>
      <c r="H10" t="s">
        <v>7</v>
      </c>
      <c r="I10" t="s">
        <v>8</v>
      </c>
      <c r="J10" t="s">
        <v>9</v>
      </c>
      <c r="K10" t="s">
        <v>10</v>
      </c>
      <c r="L10" t="s">
        <v>11</v>
      </c>
    </row>
    <row r="11" spans="2:12" x14ac:dyDescent="0.2">
      <c r="B11" t="s">
        <v>4</v>
      </c>
      <c r="F11" t="s">
        <v>6</v>
      </c>
      <c r="G11">
        <v>1</v>
      </c>
      <c r="I11">
        <v>2020</v>
      </c>
      <c r="J11">
        <v>1</v>
      </c>
      <c r="K11" t="s">
        <v>12</v>
      </c>
      <c r="L11" t="s">
        <v>12</v>
      </c>
    </row>
    <row r="12" spans="2:12" x14ac:dyDescent="0.2">
      <c r="B12" t="s">
        <v>5</v>
      </c>
      <c r="F12" t="s">
        <v>6</v>
      </c>
      <c r="G12">
        <v>1</v>
      </c>
      <c r="I12">
        <v>2020</v>
      </c>
      <c r="J12">
        <v>2</v>
      </c>
      <c r="K12" t="s">
        <v>12</v>
      </c>
      <c r="L12" t="s">
        <v>12</v>
      </c>
    </row>
    <row r="13" spans="2:12" x14ac:dyDescent="0.2">
      <c r="B13" t="s">
        <v>4</v>
      </c>
      <c r="F13" t="s">
        <v>6</v>
      </c>
      <c r="H13">
        <v>1</v>
      </c>
      <c r="I13">
        <v>2020</v>
      </c>
      <c r="J13">
        <v>1</v>
      </c>
      <c r="K13" t="s">
        <v>12</v>
      </c>
      <c r="L13" t="s">
        <v>12</v>
      </c>
    </row>
    <row r="14" spans="2:12" x14ac:dyDescent="0.2">
      <c r="B14" t="s">
        <v>5</v>
      </c>
      <c r="F14" t="s">
        <v>6</v>
      </c>
      <c r="H14">
        <v>1</v>
      </c>
      <c r="I14">
        <v>2020</v>
      </c>
      <c r="J14">
        <v>2</v>
      </c>
      <c r="K14" t="s">
        <v>12</v>
      </c>
      <c r="L14" t="s">
        <v>12</v>
      </c>
    </row>
    <row r="17" spans="2:12" x14ac:dyDescent="0.2">
      <c r="E17" t="s">
        <v>13</v>
      </c>
      <c r="F17" t="s">
        <v>15</v>
      </c>
    </row>
    <row r="18" spans="2:12" x14ac:dyDescent="0.2">
      <c r="F18" t="s">
        <v>14</v>
      </c>
    </row>
    <row r="21" spans="2:12" x14ac:dyDescent="0.2">
      <c r="B21" s="12" t="s">
        <v>65</v>
      </c>
      <c r="C21" s="12" t="s">
        <v>78</v>
      </c>
      <c r="D21" s="12" t="s">
        <v>79</v>
      </c>
      <c r="E21" t="s">
        <v>63</v>
      </c>
      <c r="F21" t="s">
        <v>66</v>
      </c>
      <c r="G21" t="s">
        <v>67</v>
      </c>
      <c r="H21" t="s">
        <v>68</v>
      </c>
      <c r="I21" t="s">
        <v>69</v>
      </c>
      <c r="L21" s="17" t="s">
        <v>70</v>
      </c>
    </row>
    <row r="22" spans="2:12" x14ac:dyDescent="0.2">
      <c r="B22" t="s">
        <v>16</v>
      </c>
      <c r="L22" s="17" t="s">
        <v>71</v>
      </c>
    </row>
    <row r="23" spans="2:12" x14ac:dyDescent="0.2">
      <c r="B23" t="s">
        <v>83</v>
      </c>
      <c r="C23" t="s">
        <v>80</v>
      </c>
      <c r="D23" t="s">
        <v>64</v>
      </c>
      <c r="L23" s="17" t="s">
        <v>72</v>
      </c>
    </row>
    <row r="24" spans="2:12" x14ac:dyDescent="0.2">
      <c r="B24" t="s">
        <v>83</v>
      </c>
      <c r="C24" t="s">
        <v>80</v>
      </c>
      <c r="D24" t="s">
        <v>82</v>
      </c>
      <c r="L24" s="17" t="s">
        <v>73</v>
      </c>
    </row>
    <row r="25" spans="2:12" x14ac:dyDescent="0.2">
      <c r="B25" t="s">
        <v>83</v>
      </c>
      <c r="C25" t="s">
        <v>81</v>
      </c>
      <c r="D25" t="s">
        <v>64</v>
      </c>
      <c r="L25" s="17" t="s">
        <v>74</v>
      </c>
    </row>
    <row r="26" spans="2:12" x14ac:dyDescent="0.2">
      <c r="B26" t="s">
        <v>83</v>
      </c>
      <c r="C26" t="s">
        <v>81</v>
      </c>
      <c r="D26" t="s">
        <v>82</v>
      </c>
      <c r="L26" s="17" t="s">
        <v>75</v>
      </c>
    </row>
    <row r="27" spans="2:12" x14ac:dyDescent="0.2">
      <c r="B27" t="s">
        <v>84</v>
      </c>
      <c r="C27" t="s">
        <v>80</v>
      </c>
      <c r="D27" t="s">
        <v>64</v>
      </c>
      <c r="L27" s="17" t="s">
        <v>76</v>
      </c>
    </row>
    <row r="28" spans="2:12" x14ac:dyDescent="0.2">
      <c r="B28" t="s">
        <v>84</v>
      </c>
      <c r="C28" t="s">
        <v>80</v>
      </c>
      <c r="D28" t="s">
        <v>82</v>
      </c>
      <c r="L28" s="17" t="s">
        <v>77</v>
      </c>
    </row>
    <row r="29" spans="2:12" x14ac:dyDescent="0.2">
      <c r="B29" t="s">
        <v>84</v>
      </c>
      <c r="C29" t="s">
        <v>81</v>
      </c>
      <c r="D29" t="s">
        <v>64</v>
      </c>
    </row>
    <row r="30" spans="2:12" x14ac:dyDescent="0.2">
      <c r="B30" t="s">
        <v>84</v>
      </c>
      <c r="C30" t="s">
        <v>81</v>
      </c>
      <c r="D30" t="s">
        <v>82</v>
      </c>
    </row>
    <row r="31" spans="2:12" x14ac:dyDescent="0.2">
      <c r="B31" s="17"/>
      <c r="C31" s="17"/>
      <c r="D31" s="17"/>
    </row>
    <row r="32" spans="2:12" x14ac:dyDescent="0.2">
      <c r="B32" s="17"/>
      <c r="C32" s="17"/>
      <c r="D32" s="17"/>
    </row>
    <row r="33" spans="2:4" x14ac:dyDescent="0.2">
      <c r="B33" s="17"/>
      <c r="C33" s="17"/>
      <c r="D33" s="17"/>
    </row>
    <row r="34" spans="2:4" x14ac:dyDescent="0.2">
      <c r="B34" s="17"/>
      <c r="C34" s="17"/>
      <c r="D34" s="17"/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9AF7-B803-B94E-A1B1-BB65221D85BB}">
  <dimension ref="B3:AM32"/>
  <sheetViews>
    <sheetView tabSelected="1" zoomScale="150" workbookViewId="0">
      <selection activeCell="G10" sqref="G10"/>
    </sheetView>
  </sheetViews>
  <sheetFormatPr baseColWidth="10" defaultRowHeight="16" x14ac:dyDescent="0.2"/>
  <cols>
    <col min="3" max="3" width="5.83203125" customWidth="1"/>
    <col min="4" max="6" width="4.6640625" customWidth="1"/>
    <col min="7" max="7" width="7.1640625" customWidth="1"/>
    <col min="8" max="11" width="4.6640625" customWidth="1"/>
    <col min="12" max="12" width="6.6640625" customWidth="1"/>
    <col min="13" max="39" width="4.6640625" customWidth="1"/>
  </cols>
  <sheetData>
    <row r="3" spans="2:39" x14ac:dyDescent="0.2">
      <c r="B3" t="s">
        <v>103</v>
      </c>
    </row>
    <row r="6" spans="2:39" x14ac:dyDescent="0.2">
      <c r="B6" t="s">
        <v>95</v>
      </c>
      <c r="C6" s="12">
        <v>0</v>
      </c>
      <c r="D6" s="12">
        <v>1</v>
      </c>
      <c r="E6" s="12">
        <v>2</v>
      </c>
      <c r="F6" s="12">
        <v>3</v>
      </c>
      <c r="G6" s="12">
        <v>4</v>
      </c>
      <c r="H6" s="12">
        <v>5</v>
      </c>
      <c r="I6" s="12">
        <v>6</v>
      </c>
      <c r="J6" s="12">
        <v>7</v>
      </c>
      <c r="K6" s="12">
        <v>8</v>
      </c>
      <c r="L6" s="12">
        <v>9</v>
      </c>
      <c r="M6" s="12">
        <v>10</v>
      </c>
      <c r="N6" s="12">
        <v>11</v>
      </c>
      <c r="O6" s="12">
        <v>12</v>
      </c>
      <c r="P6" s="12">
        <v>13</v>
      </c>
      <c r="Q6" s="12">
        <v>14</v>
      </c>
      <c r="R6" s="12">
        <v>15</v>
      </c>
      <c r="S6" s="12">
        <v>16</v>
      </c>
      <c r="T6" s="12">
        <v>17</v>
      </c>
      <c r="U6" s="12">
        <v>18</v>
      </c>
      <c r="V6" s="12">
        <v>19</v>
      </c>
      <c r="W6" s="12">
        <v>20</v>
      </c>
      <c r="X6" s="12">
        <v>21</v>
      </c>
      <c r="Y6" s="12">
        <v>22</v>
      </c>
      <c r="Z6" s="12">
        <v>23</v>
      </c>
      <c r="AA6" s="12">
        <v>24</v>
      </c>
      <c r="AB6" s="12">
        <v>25</v>
      </c>
      <c r="AC6" s="12">
        <v>26</v>
      </c>
      <c r="AD6" s="12">
        <v>27</v>
      </c>
      <c r="AE6" s="12">
        <v>28</v>
      </c>
      <c r="AF6" s="12">
        <v>29</v>
      </c>
      <c r="AG6" s="12">
        <v>30</v>
      </c>
      <c r="AH6" s="12">
        <v>31</v>
      </c>
      <c r="AI6" s="12">
        <v>32</v>
      </c>
      <c r="AJ6" s="12">
        <v>33</v>
      </c>
      <c r="AK6" s="12">
        <v>34</v>
      </c>
      <c r="AL6" s="12">
        <v>35</v>
      </c>
      <c r="AM6" s="12">
        <v>36</v>
      </c>
    </row>
    <row r="7" spans="2:39" x14ac:dyDescent="0.2">
      <c r="B7" t="s">
        <v>96</v>
      </c>
      <c r="C7">
        <v>54.35140800443061</v>
      </c>
      <c r="D7">
        <v>35.33388309338995</v>
      </c>
      <c r="E7">
        <v>64.564400976904807</v>
      </c>
      <c r="F7">
        <v>46.675532480520609</v>
      </c>
      <c r="G7">
        <v>98.019236047454044</v>
      </c>
      <c r="H7">
        <v>16.215380370327981</v>
      </c>
      <c r="I7">
        <v>42.04215337253784</v>
      </c>
      <c r="J7">
        <v>14.518657847401961</v>
      </c>
      <c r="K7">
        <v>48.908431886108126</v>
      </c>
      <c r="L7">
        <v>71.868439121801629</v>
      </c>
      <c r="M7">
        <v>0.29499553394913836</v>
      </c>
      <c r="N7">
        <v>4.2466535147250628</v>
      </c>
      <c r="O7">
        <v>7.956683964226241</v>
      </c>
      <c r="P7">
        <v>26.062326444868699</v>
      </c>
      <c r="Q7">
        <v>3.7453259747186718</v>
      </c>
      <c r="R7">
        <v>29.988373706843696</v>
      </c>
      <c r="S7">
        <v>99.180935540977373</v>
      </c>
      <c r="T7">
        <v>47.507261678877299</v>
      </c>
      <c r="U7">
        <v>58.590639676054977</v>
      </c>
      <c r="V7">
        <v>38.572709634242543</v>
      </c>
      <c r="W7">
        <v>88.636005117498158</v>
      </c>
      <c r="X7">
        <v>51.967676633315648</v>
      </c>
      <c r="Y7">
        <v>69.195578062926117</v>
      </c>
      <c r="Z7">
        <v>47.240101689434866</v>
      </c>
      <c r="AA7">
        <v>12.45421443835818</v>
      </c>
      <c r="AB7">
        <v>77.963139719389957</v>
      </c>
      <c r="AC7">
        <v>58.029103945720053</v>
      </c>
      <c r="AD7">
        <v>1.6514925584864781</v>
      </c>
      <c r="AE7">
        <v>12.118328441671133</v>
      </c>
      <c r="AF7">
        <v>76.483728443725681</v>
      </c>
      <c r="AG7">
        <v>94.062947270064896</v>
      </c>
      <c r="AH7">
        <v>40.559869408102202</v>
      </c>
      <c r="AI7">
        <v>81.22599258224875</v>
      </c>
      <c r="AJ7">
        <v>45.834224937434286</v>
      </c>
      <c r="AK7">
        <v>84.836692873532655</v>
      </c>
      <c r="AL7">
        <v>62.695318077818222</v>
      </c>
      <c r="AM7">
        <v>72.243890753357121</v>
      </c>
    </row>
    <row r="10" spans="2:39" x14ac:dyDescent="0.2">
      <c r="B10" t="s">
        <v>95</v>
      </c>
      <c r="C10" s="12">
        <v>0</v>
      </c>
      <c r="H10" s="12">
        <v>5</v>
      </c>
    </row>
    <row r="11" spans="2:39" x14ac:dyDescent="0.2">
      <c r="B11" t="s">
        <v>97</v>
      </c>
      <c r="C11" s="21">
        <v>54.35140800443061</v>
      </c>
      <c r="D11">
        <v>35.33388309338995</v>
      </c>
      <c r="E11">
        <v>64.564400976904807</v>
      </c>
      <c r="F11">
        <v>46.675532480520609</v>
      </c>
      <c r="G11" s="21">
        <v>98.019236047454044</v>
      </c>
      <c r="H11">
        <v>16.215380370327981</v>
      </c>
      <c r="L11" t="s">
        <v>106</v>
      </c>
      <c r="M11" s="22">
        <v>0</v>
      </c>
      <c r="N11" s="12">
        <v>5</v>
      </c>
    </row>
    <row r="12" spans="2:39" x14ac:dyDescent="0.2">
      <c r="B12" t="s">
        <v>98</v>
      </c>
      <c r="C12" s="21">
        <v>42.04215337253784</v>
      </c>
      <c r="G12" s="21"/>
    </row>
    <row r="13" spans="2:39" x14ac:dyDescent="0.2">
      <c r="B13" t="s">
        <v>99</v>
      </c>
      <c r="C13" s="21">
        <v>14.518657847401961</v>
      </c>
      <c r="G13" s="21"/>
    </row>
    <row r="14" spans="2:39" x14ac:dyDescent="0.2">
      <c r="C14" s="21"/>
      <c r="G14" s="21"/>
      <c r="R14" t="s">
        <v>107</v>
      </c>
      <c r="S14" t="s">
        <v>108</v>
      </c>
    </row>
    <row r="15" spans="2:39" x14ac:dyDescent="0.2">
      <c r="C15" s="21"/>
      <c r="G15" s="21"/>
    </row>
    <row r="16" spans="2:39" x14ac:dyDescent="0.2">
      <c r="C16" s="21"/>
      <c r="G16" s="21"/>
    </row>
    <row r="17" spans="2:18" x14ac:dyDescent="0.2">
      <c r="C17" s="12">
        <v>1</v>
      </c>
      <c r="G17" s="21"/>
      <c r="H17" s="12">
        <v>6</v>
      </c>
    </row>
    <row r="18" spans="2:18" x14ac:dyDescent="0.2">
      <c r="B18" t="s">
        <v>97</v>
      </c>
      <c r="C18" s="21">
        <v>35.33388309338995</v>
      </c>
      <c r="D18">
        <v>64.564400976904807</v>
      </c>
      <c r="E18">
        <v>46.675532480520609</v>
      </c>
      <c r="F18">
        <v>98.019236047454044</v>
      </c>
      <c r="G18" s="21">
        <v>16.215380370327981</v>
      </c>
      <c r="H18">
        <v>42.04215337253784</v>
      </c>
      <c r="L18" t="s">
        <v>106</v>
      </c>
      <c r="M18" s="22">
        <v>1</v>
      </c>
      <c r="N18" s="12">
        <v>6</v>
      </c>
    </row>
    <row r="19" spans="2:18" x14ac:dyDescent="0.2">
      <c r="B19" t="s">
        <v>98</v>
      </c>
      <c r="C19">
        <v>48.908431886108126</v>
      </c>
    </row>
    <row r="20" spans="2:18" x14ac:dyDescent="0.2">
      <c r="B20" t="s">
        <v>99</v>
      </c>
      <c r="C20" s="21">
        <v>71.868439121801629</v>
      </c>
    </row>
    <row r="24" spans="2:18" x14ac:dyDescent="0.2">
      <c r="B24" t="s">
        <v>100</v>
      </c>
      <c r="C24" s="19">
        <f>36-6-1</f>
        <v>29</v>
      </c>
      <c r="D24" s="19" t="s">
        <v>12</v>
      </c>
      <c r="E24" s="19">
        <v>6</v>
      </c>
      <c r="F24" s="20" t="s">
        <v>101</v>
      </c>
      <c r="G24">
        <f>29*6</f>
        <v>174</v>
      </c>
      <c r="L24" t="s">
        <v>100</v>
      </c>
      <c r="M24" s="19">
        <f>36-6-1</f>
        <v>29</v>
      </c>
      <c r="N24" s="19" t="s">
        <v>12</v>
      </c>
      <c r="O24" s="19">
        <v>2</v>
      </c>
      <c r="P24" s="20" t="s">
        <v>101</v>
      </c>
      <c r="Q24">
        <f>29*2</f>
        <v>58</v>
      </c>
    </row>
    <row r="25" spans="2:18" x14ac:dyDescent="0.2">
      <c r="B25" t="s">
        <v>102</v>
      </c>
      <c r="C25">
        <v>1502</v>
      </c>
    </row>
    <row r="26" spans="2:18" x14ac:dyDescent="0.2">
      <c r="B26" t="s">
        <v>104</v>
      </c>
      <c r="G26">
        <f>C25*G24</f>
        <v>261348</v>
      </c>
      <c r="L26" t="s">
        <v>104</v>
      </c>
      <c r="Q26" s="23">
        <f>C25*Q24</f>
        <v>87116</v>
      </c>
      <c r="R26" s="23"/>
    </row>
    <row r="29" spans="2:18" x14ac:dyDescent="0.2">
      <c r="B29" s="12" t="s">
        <v>105</v>
      </c>
    </row>
    <row r="30" spans="2:18" x14ac:dyDescent="0.2">
      <c r="B30" t="s">
        <v>100</v>
      </c>
      <c r="C30" s="19">
        <f>93-6-1</f>
        <v>86</v>
      </c>
      <c r="D30" s="19" t="s">
        <v>12</v>
      </c>
      <c r="E30" s="19">
        <v>6</v>
      </c>
      <c r="F30" s="20" t="s">
        <v>101</v>
      </c>
      <c r="G30">
        <f>93*6</f>
        <v>558</v>
      </c>
      <c r="L30" t="s">
        <v>100</v>
      </c>
      <c r="M30" s="19">
        <v>86</v>
      </c>
      <c r="N30" s="19" t="s">
        <v>12</v>
      </c>
      <c r="O30" s="19">
        <v>2</v>
      </c>
      <c r="P30" s="20" t="s">
        <v>101</v>
      </c>
      <c r="Q30">
        <f>86*2</f>
        <v>172</v>
      </c>
    </row>
    <row r="31" spans="2:18" x14ac:dyDescent="0.2">
      <c r="B31" t="s">
        <v>102</v>
      </c>
      <c r="C31">
        <v>1502</v>
      </c>
    </row>
    <row r="32" spans="2:18" x14ac:dyDescent="0.2">
      <c r="B32" t="s">
        <v>104</v>
      </c>
      <c r="G32">
        <f>C31*G30</f>
        <v>838116</v>
      </c>
      <c r="L32" t="s">
        <v>104</v>
      </c>
      <c r="Q32" s="23">
        <f>C31*Q30</f>
        <v>258344</v>
      </c>
      <c r="R32" s="23"/>
    </row>
  </sheetData>
  <mergeCells count="2">
    <mergeCell ref="Q26:R26"/>
    <mergeCell ref="Q32:R32"/>
  </mergeCell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1DB66-69A8-3E44-86C1-38B39616905A}">
  <dimension ref="A1:K33"/>
  <sheetViews>
    <sheetView topLeftCell="A13" zoomScale="186" workbookViewId="0">
      <selection activeCell="A26" sqref="A26"/>
    </sheetView>
  </sheetViews>
  <sheetFormatPr baseColWidth="10" defaultRowHeight="16" x14ac:dyDescent="0.2"/>
  <cols>
    <col min="1" max="1" width="13.83203125" customWidth="1"/>
  </cols>
  <sheetData>
    <row r="1" spans="1:11" x14ac:dyDescent="0.2">
      <c r="A1" s="12" t="s">
        <v>16</v>
      </c>
      <c r="B1" s="12" t="s">
        <v>78</v>
      </c>
      <c r="C1" s="12" t="s">
        <v>79</v>
      </c>
      <c r="D1" s="12" t="s">
        <v>91</v>
      </c>
      <c r="E1" s="12" t="s">
        <v>63</v>
      </c>
      <c r="F1" s="12" t="s">
        <v>66</v>
      </c>
      <c r="G1" s="12" t="s">
        <v>67</v>
      </c>
      <c r="H1" s="12" t="s">
        <v>68</v>
      </c>
      <c r="I1" s="12" t="s">
        <v>69</v>
      </c>
    </row>
    <row r="2" spans="1:11" x14ac:dyDescent="0.2">
      <c r="A2" t="s">
        <v>83</v>
      </c>
      <c r="B2" t="s">
        <v>80</v>
      </c>
      <c r="C2" t="s">
        <v>64</v>
      </c>
      <c r="D2" t="s">
        <v>65</v>
      </c>
    </row>
    <row r="3" spans="1:11" x14ac:dyDescent="0.2">
      <c r="A3" t="s">
        <v>83</v>
      </c>
      <c r="B3" t="s">
        <v>80</v>
      </c>
      <c r="C3" t="s">
        <v>82</v>
      </c>
      <c r="D3" t="s">
        <v>65</v>
      </c>
      <c r="K3" s="17"/>
    </row>
    <row r="4" spans="1:11" x14ac:dyDescent="0.2">
      <c r="A4" t="s">
        <v>83</v>
      </c>
      <c r="B4" t="s">
        <v>81</v>
      </c>
      <c r="C4" t="s">
        <v>64</v>
      </c>
      <c r="D4" t="s">
        <v>65</v>
      </c>
      <c r="K4" s="17"/>
    </row>
    <row r="5" spans="1:11" x14ac:dyDescent="0.2">
      <c r="A5" t="s">
        <v>83</v>
      </c>
      <c r="B5" t="s">
        <v>81</v>
      </c>
      <c r="C5" t="s">
        <v>82</v>
      </c>
      <c r="D5" t="s">
        <v>65</v>
      </c>
      <c r="K5" s="17"/>
    </row>
    <row r="6" spans="1:11" x14ac:dyDescent="0.2">
      <c r="A6" t="s">
        <v>84</v>
      </c>
      <c r="B6" t="s">
        <v>80</v>
      </c>
      <c r="C6" t="s">
        <v>64</v>
      </c>
      <c r="D6" t="s">
        <v>65</v>
      </c>
      <c r="K6" s="17"/>
    </row>
    <row r="7" spans="1:11" x14ac:dyDescent="0.2">
      <c r="A7" t="s">
        <v>84</v>
      </c>
      <c r="B7" t="s">
        <v>80</v>
      </c>
      <c r="C7" t="s">
        <v>82</v>
      </c>
      <c r="D7" t="s">
        <v>65</v>
      </c>
      <c r="K7" s="17"/>
    </row>
    <row r="8" spans="1:11" x14ac:dyDescent="0.2">
      <c r="A8" t="s">
        <v>84</v>
      </c>
      <c r="B8" t="s">
        <v>81</v>
      </c>
      <c r="C8" t="s">
        <v>64</v>
      </c>
      <c r="D8" t="s">
        <v>65</v>
      </c>
      <c r="K8" s="17"/>
    </row>
    <row r="9" spans="1:11" x14ac:dyDescent="0.2">
      <c r="A9" t="s">
        <v>84</v>
      </c>
      <c r="B9" t="s">
        <v>81</v>
      </c>
      <c r="C9" t="s">
        <v>82</v>
      </c>
      <c r="D9" t="s">
        <v>65</v>
      </c>
      <c r="K9" s="17"/>
    </row>
    <row r="10" spans="1:11" x14ac:dyDescent="0.2">
      <c r="A10" t="s">
        <v>85</v>
      </c>
      <c r="B10" t="s">
        <v>80</v>
      </c>
      <c r="C10" t="s">
        <v>64</v>
      </c>
      <c r="D10" t="s">
        <v>65</v>
      </c>
      <c r="K10" s="17"/>
    </row>
    <row r="11" spans="1:11" x14ac:dyDescent="0.2">
      <c r="A11" t="s">
        <v>85</v>
      </c>
      <c r="B11" t="s">
        <v>80</v>
      </c>
      <c r="C11" t="s">
        <v>82</v>
      </c>
      <c r="D11" t="s">
        <v>65</v>
      </c>
    </row>
    <row r="12" spans="1:11" x14ac:dyDescent="0.2">
      <c r="A12" t="s">
        <v>85</v>
      </c>
      <c r="B12" t="s">
        <v>81</v>
      </c>
      <c r="C12" t="s">
        <v>64</v>
      </c>
      <c r="D12" t="s">
        <v>65</v>
      </c>
    </row>
    <row r="13" spans="1:11" x14ac:dyDescent="0.2">
      <c r="A13" t="s">
        <v>85</v>
      </c>
      <c r="B13" t="s">
        <v>81</v>
      </c>
      <c r="C13" t="s">
        <v>82</v>
      </c>
      <c r="D13" t="s">
        <v>65</v>
      </c>
    </row>
    <row r="14" spans="1:11" x14ac:dyDescent="0.2">
      <c r="A14" t="s">
        <v>86</v>
      </c>
      <c r="B14" t="s">
        <v>80</v>
      </c>
      <c r="C14" t="s">
        <v>64</v>
      </c>
      <c r="D14" t="s">
        <v>65</v>
      </c>
    </row>
    <row r="15" spans="1:11" x14ac:dyDescent="0.2">
      <c r="A15" t="s">
        <v>86</v>
      </c>
      <c r="B15" t="s">
        <v>80</v>
      </c>
      <c r="C15" t="s">
        <v>82</v>
      </c>
      <c r="D15" t="s">
        <v>65</v>
      </c>
    </row>
    <row r="16" spans="1:11" x14ac:dyDescent="0.2">
      <c r="A16" t="s">
        <v>86</v>
      </c>
      <c r="B16" t="s">
        <v>81</v>
      </c>
      <c r="C16" t="s">
        <v>64</v>
      </c>
      <c r="D16" t="s">
        <v>65</v>
      </c>
    </row>
    <row r="17" spans="1:4" x14ac:dyDescent="0.2">
      <c r="A17" t="s">
        <v>86</v>
      </c>
      <c r="B17" t="s">
        <v>81</v>
      </c>
      <c r="C17" t="s">
        <v>82</v>
      </c>
      <c r="D17" t="s">
        <v>65</v>
      </c>
    </row>
    <row r="18" spans="1:4" x14ac:dyDescent="0.2">
      <c r="A18" t="s">
        <v>87</v>
      </c>
      <c r="B18" t="s">
        <v>80</v>
      </c>
      <c r="C18" t="s">
        <v>64</v>
      </c>
      <c r="D18" t="s">
        <v>65</v>
      </c>
    </row>
    <row r="19" spans="1:4" x14ac:dyDescent="0.2">
      <c r="A19" t="s">
        <v>87</v>
      </c>
      <c r="B19" t="s">
        <v>80</v>
      </c>
      <c r="C19" t="s">
        <v>82</v>
      </c>
      <c r="D19" t="s">
        <v>65</v>
      </c>
    </row>
    <row r="20" spans="1:4" x14ac:dyDescent="0.2">
      <c r="A20" t="s">
        <v>87</v>
      </c>
      <c r="B20" t="s">
        <v>81</v>
      </c>
      <c r="C20" t="s">
        <v>64</v>
      </c>
      <c r="D20" t="s">
        <v>65</v>
      </c>
    </row>
    <row r="21" spans="1:4" x14ac:dyDescent="0.2">
      <c r="A21" t="s">
        <v>87</v>
      </c>
      <c r="B21" t="s">
        <v>81</v>
      </c>
      <c r="C21" t="s">
        <v>82</v>
      </c>
      <c r="D21" t="s">
        <v>65</v>
      </c>
    </row>
    <row r="22" spans="1:4" x14ac:dyDescent="0.2">
      <c r="A22" t="s">
        <v>88</v>
      </c>
      <c r="B22" t="s">
        <v>80</v>
      </c>
      <c r="C22" t="s">
        <v>64</v>
      </c>
      <c r="D22" t="s">
        <v>65</v>
      </c>
    </row>
    <row r="23" spans="1:4" x14ac:dyDescent="0.2">
      <c r="A23" t="s">
        <v>88</v>
      </c>
      <c r="B23" t="s">
        <v>80</v>
      </c>
      <c r="C23" t="s">
        <v>82</v>
      </c>
      <c r="D23" t="s">
        <v>65</v>
      </c>
    </row>
    <row r="24" spans="1:4" x14ac:dyDescent="0.2">
      <c r="A24" t="s">
        <v>88</v>
      </c>
      <c r="B24" t="s">
        <v>81</v>
      </c>
      <c r="C24" t="s">
        <v>64</v>
      </c>
      <c r="D24" t="s">
        <v>65</v>
      </c>
    </row>
    <row r="25" spans="1:4" x14ac:dyDescent="0.2">
      <c r="A25" t="s">
        <v>88</v>
      </c>
      <c r="B25" t="s">
        <v>81</v>
      </c>
      <c r="C25" t="s">
        <v>82</v>
      </c>
      <c r="D25" t="s">
        <v>65</v>
      </c>
    </row>
    <row r="26" spans="1:4" x14ac:dyDescent="0.2">
      <c r="A26" t="s">
        <v>89</v>
      </c>
      <c r="B26" t="s">
        <v>80</v>
      </c>
      <c r="C26" t="s">
        <v>64</v>
      </c>
      <c r="D26" t="s">
        <v>65</v>
      </c>
    </row>
    <row r="27" spans="1:4" x14ac:dyDescent="0.2">
      <c r="A27" t="s">
        <v>89</v>
      </c>
      <c r="B27" t="s">
        <v>80</v>
      </c>
      <c r="C27" t="s">
        <v>82</v>
      </c>
      <c r="D27" t="s">
        <v>65</v>
      </c>
    </row>
    <row r="28" spans="1:4" x14ac:dyDescent="0.2">
      <c r="A28" t="s">
        <v>89</v>
      </c>
      <c r="B28" t="s">
        <v>81</v>
      </c>
      <c r="C28" t="s">
        <v>64</v>
      </c>
      <c r="D28" t="s">
        <v>65</v>
      </c>
    </row>
    <row r="29" spans="1:4" x14ac:dyDescent="0.2">
      <c r="A29" t="s">
        <v>89</v>
      </c>
      <c r="B29" t="s">
        <v>81</v>
      </c>
      <c r="C29" t="s">
        <v>82</v>
      </c>
      <c r="D29" t="s">
        <v>65</v>
      </c>
    </row>
    <row r="30" spans="1:4" x14ac:dyDescent="0.2">
      <c r="A30" t="s">
        <v>90</v>
      </c>
      <c r="B30" t="s">
        <v>80</v>
      </c>
      <c r="C30" t="s">
        <v>64</v>
      </c>
      <c r="D30" t="s">
        <v>65</v>
      </c>
    </row>
    <row r="31" spans="1:4" x14ac:dyDescent="0.2">
      <c r="A31" t="s">
        <v>90</v>
      </c>
      <c r="B31" t="s">
        <v>80</v>
      </c>
      <c r="C31" t="s">
        <v>82</v>
      </c>
      <c r="D31" t="s">
        <v>65</v>
      </c>
    </row>
    <row r="32" spans="1:4" x14ac:dyDescent="0.2">
      <c r="A32" t="s">
        <v>90</v>
      </c>
      <c r="B32" t="s">
        <v>81</v>
      </c>
      <c r="C32" t="s">
        <v>64</v>
      </c>
      <c r="D32" t="s">
        <v>65</v>
      </c>
    </row>
    <row r="33" spans="1:4" x14ac:dyDescent="0.2">
      <c r="A33" t="s">
        <v>90</v>
      </c>
      <c r="B33" t="s">
        <v>81</v>
      </c>
      <c r="C33" t="s">
        <v>82</v>
      </c>
      <c r="D33" t="s">
        <v>65</v>
      </c>
    </row>
  </sheetData>
  <phoneticPr fontId="10" type="noConversion"/>
  <pageMargins left="0.7" right="0.7" top="0.78740157499999996" bottom="0.78740157499999996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C5334-F7E7-E34A-95A2-9690A23087D0}">
  <dimension ref="A1:I17"/>
  <sheetViews>
    <sheetView zoomScale="192" workbookViewId="0">
      <selection activeCell="C9" sqref="C9"/>
    </sheetView>
  </sheetViews>
  <sheetFormatPr baseColWidth="10" defaultRowHeight="16" x14ac:dyDescent="0.2"/>
  <sheetData>
    <row r="1" spans="1:9" x14ac:dyDescent="0.2">
      <c r="A1" s="12" t="s">
        <v>16</v>
      </c>
      <c r="B1" s="12" t="s">
        <v>78</v>
      </c>
      <c r="C1" s="12" t="s">
        <v>79</v>
      </c>
      <c r="D1" s="12" t="s">
        <v>91</v>
      </c>
      <c r="E1" s="12" t="s">
        <v>63</v>
      </c>
      <c r="F1" s="12" t="s">
        <v>66</v>
      </c>
      <c r="G1" s="12" t="s">
        <v>67</v>
      </c>
      <c r="H1" s="12" t="s">
        <v>68</v>
      </c>
      <c r="I1" s="12" t="s">
        <v>69</v>
      </c>
    </row>
    <row r="2" spans="1:9" x14ac:dyDescent="0.2">
      <c r="A2" t="s">
        <v>89</v>
      </c>
      <c r="B2" t="s">
        <v>80</v>
      </c>
      <c r="C2" t="s">
        <v>64</v>
      </c>
      <c r="D2" t="s">
        <v>65</v>
      </c>
    </row>
    <row r="3" spans="1:9" x14ac:dyDescent="0.2">
      <c r="A3" t="s">
        <v>89</v>
      </c>
      <c r="B3" t="s">
        <v>80</v>
      </c>
      <c r="C3" t="s">
        <v>82</v>
      </c>
      <c r="D3" t="s">
        <v>65</v>
      </c>
    </row>
    <row r="4" spans="1:9" x14ac:dyDescent="0.2">
      <c r="A4" t="s">
        <v>89</v>
      </c>
      <c r="B4" t="s">
        <v>80</v>
      </c>
      <c r="C4" t="s">
        <v>64</v>
      </c>
      <c r="D4" t="s">
        <v>92</v>
      </c>
    </row>
    <row r="5" spans="1:9" x14ac:dyDescent="0.2">
      <c r="A5" t="s">
        <v>89</v>
      </c>
      <c r="B5" t="s">
        <v>80</v>
      </c>
      <c r="C5" t="s">
        <v>82</v>
      </c>
      <c r="D5" t="s">
        <v>92</v>
      </c>
    </row>
    <row r="6" spans="1:9" x14ac:dyDescent="0.2">
      <c r="A6" t="s">
        <v>89</v>
      </c>
      <c r="B6" t="s">
        <v>80</v>
      </c>
      <c r="C6" t="s">
        <v>64</v>
      </c>
      <c r="D6" t="s">
        <v>93</v>
      </c>
    </row>
    <row r="7" spans="1:9" x14ac:dyDescent="0.2">
      <c r="A7" t="s">
        <v>89</v>
      </c>
      <c r="B7" t="s">
        <v>80</v>
      </c>
      <c r="C7" t="s">
        <v>82</v>
      </c>
      <c r="D7" t="s">
        <v>93</v>
      </c>
    </row>
    <row r="8" spans="1:9" x14ac:dyDescent="0.2">
      <c r="A8" t="s">
        <v>89</v>
      </c>
      <c r="B8" t="s">
        <v>80</v>
      </c>
      <c r="C8" t="s">
        <v>64</v>
      </c>
      <c r="D8" t="s">
        <v>94</v>
      </c>
    </row>
    <row r="9" spans="1:9" x14ac:dyDescent="0.2">
      <c r="A9" t="s">
        <v>89</v>
      </c>
      <c r="B9" t="s">
        <v>80</v>
      </c>
      <c r="C9" t="s">
        <v>82</v>
      </c>
      <c r="D9" t="s">
        <v>94</v>
      </c>
    </row>
    <row r="10" spans="1:9" x14ac:dyDescent="0.2">
      <c r="A10" t="s">
        <v>90</v>
      </c>
      <c r="B10" t="s">
        <v>81</v>
      </c>
      <c r="C10" t="s">
        <v>64</v>
      </c>
      <c r="D10" t="s">
        <v>65</v>
      </c>
    </row>
    <row r="11" spans="1:9" x14ac:dyDescent="0.2">
      <c r="A11" t="s">
        <v>90</v>
      </c>
      <c r="B11" t="s">
        <v>81</v>
      </c>
      <c r="C11" t="s">
        <v>82</v>
      </c>
      <c r="D11" t="s">
        <v>65</v>
      </c>
    </row>
    <row r="12" spans="1:9" x14ac:dyDescent="0.2">
      <c r="A12" t="s">
        <v>90</v>
      </c>
      <c r="B12" t="s">
        <v>81</v>
      </c>
      <c r="C12" t="s">
        <v>64</v>
      </c>
      <c r="D12" t="s">
        <v>92</v>
      </c>
    </row>
    <row r="13" spans="1:9" x14ac:dyDescent="0.2">
      <c r="A13" t="s">
        <v>90</v>
      </c>
      <c r="B13" t="s">
        <v>81</v>
      </c>
      <c r="C13" t="s">
        <v>82</v>
      </c>
      <c r="D13" t="s">
        <v>92</v>
      </c>
    </row>
    <row r="14" spans="1:9" x14ac:dyDescent="0.2">
      <c r="A14" t="s">
        <v>90</v>
      </c>
      <c r="B14" t="s">
        <v>81</v>
      </c>
      <c r="C14" t="s">
        <v>64</v>
      </c>
      <c r="D14" t="s">
        <v>93</v>
      </c>
    </row>
    <row r="15" spans="1:9" x14ac:dyDescent="0.2">
      <c r="A15" t="s">
        <v>90</v>
      </c>
      <c r="B15" t="s">
        <v>81</v>
      </c>
      <c r="C15" t="s">
        <v>82</v>
      </c>
      <c r="D15" t="s">
        <v>93</v>
      </c>
    </row>
    <row r="16" spans="1:9" x14ac:dyDescent="0.2">
      <c r="A16" t="s">
        <v>90</v>
      </c>
      <c r="B16" t="s">
        <v>81</v>
      </c>
      <c r="C16" t="s">
        <v>64</v>
      </c>
      <c r="D16" t="s">
        <v>94</v>
      </c>
    </row>
    <row r="17" spans="1:4" x14ac:dyDescent="0.2">
      <c r="A17" t="s">
        <v>90</v>
      </c>
      <c r="B17" t="s">
        <v>81</v>
      </c>
      <c r="C17" t="s">
        <v>82</v>
      </c>
      <c r="D17" t="s">
        <v>94</v>
      </c>
    </row>
  </sheetData>
  <autoFilter ref="A1:I1" xr:uid="{A32C5334-F7E7-E34A-95A2-9690A23087D0}">
    <sortState xmlns:xlrd2="http://schemas.microsoft.com/office/spreadsheetml/2017/richdata2" ref="A2:I17">
      <sortCondition descending="1" ref="B1:B17"/>
    </sortState>
  </autoFilter>
  <phoneticPr fontId="10" type="noConversion"/>
  <pageMargins left="0.7" right="0.7" top="0.78740157499999996" bottom="0.78740157499999996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31699-8ED8-B047-BDB8-038509C9D266}">
  <dimension ref="B9:E28"/>
  <sheetViews>
    <sheetView showGridLines="0" topLeftCell="A8" zoomScale="224" workbookViewId="0">
      <selection activeCell="B24" sqref="B24"/>
    </sheetView>
  </sheetViews>
  <sheetFormatPr baseColWidth="10" defaultRowHeight="16" x14ac:dyDescent="0.2"/>
  <sheetData>
    <row r="9" spans="2:5" x14ac:dyDescent="0.2">
      <c r="B9" s="1">
        <v>1</v>
      </c>
      <c r="C9" s="2"/>
      <c r="D9" s="2"/>
      <c r="E9" s="2"/>
    </row>
    <row r="10" spans="2:5" x14ac:dyDescent="0.2">
      <c r="B10" s="1">
        <v>2</v>
      </c>
      <c r="C10" s="2"/>
      <c r="D10" s="2"/>
      <c r="E10" s="2"/>
    </row>
    <row r="11" spans="2:5" x14ac:dyDescent="0.2">
      <c r="B11" s="1">
        <v>3</v>
      </c>
      <c r="C11" s="2"/>
      <c r="D11" s="2"/>
      <c r="E11" s="2"/>
    </row>
    <row r="12" spans="2:5" x14ac:dyDescent="0.2">
      <c r="B12" s="1">
        <v>4</v>
      </c>
      <c r="C12" s="2"/>
      <c r="D12" s="2"/>
      <c r="E12" s="2"/>
    </row>
    <row r="13" spans="2:5" x14ac:dyDescent="0.2">
      <c r="B13" s="1">
        <v>5</v>
      </c>
      <c r="C13" s="3" t="s">
        <v>17</v>
      </c>
      <c r="D13" s="3" t="s">
        <v>17</v>
      </c>
      <c r="E13" s="3" t="s">
        <v>17</v>
      </c>
    </row>
    <row r="14" spans="2:5" x14ac:dyDescent="0.2">
      <c r="B14" s="1">
        <v>6</v>
      </c>
      <c r="C14" s="3"/>
      <c r="D14" s="3"/>
      <c r="E14" s="3"/>
    </row>
    <row r="15" spans="2:5" x14ac:dyDescent="0.2">
      <c r="B15" s="1">
        <v>7</v>
      </c>
      <c r="C15" s="6" t="s">
        <v>19</v>
      </c>
      <c r="D15" s="4"/>
      <c r="E15" s="4"/>
    </row>
    <row r="16" spans="2:5" x14ac:dyDescent="0.2">
      <c r="B16" s="1">
        <v>8</v>
      </c>
      <c r="C16" s="5"/>
      <c r="D16" s="3"/>
      <c r="E16" s="3"/>
    </row>
    <row r="17" spans="2:5" x14ac:dyDescent="0.2">
      <c r="B17" s="1">
        <v>9</v>
      </c>
      <c r="C17" s="5" t="s">
        <v>20</v>
      </c>
      <c r="D17" s="3"/>
      <c r="E17" s="3"/>
    </row>
    <row r="18" spans="2:5" x14ac:dyDescent="0.2">
      <c r="B18" s="1">
        <v>10</v>
      </c>
      <c r="C18" s="5"/>
      <c r="D18" s="6" t="s">
        <v>19</v>
      </c>
      <c r="E18" s="3"/>
    </row>
    <row r="19" spans="2:5" x14ac:dyDescent="0.2">
      <c r="B19" s="1">
        <v>11</v>
      </c>
      <c r="C19" s="6" t="s">
        <v>19</v>
      </c>
      <c r="D19" s="5"/>
      <c r="E19" s="3"/>
    </row>
    <row r="20" spans="2:5" x14ac:dyDescent="0.2">
      <c r="B20" s="1">
        <v>12</v>
      </c>
      <c r="C20" s="7"/>
      <c r="D20" s="5" t="s">
        <v>20</v>
      </c>
      <c r="E20" s="3"/>
    </row>
    <row r="21" spans="2:5" x14ac:dyDescent="0.2">
      <c r="B21" s="1">
        <v>13</v>
      </c>
      <c r="C21" s="8" t="s">
        <v>18</v>
      </c>
      <c r="D21" s="5"/>
      <c r="E21" s="6" t="s">
        <v>19</v>
      </c>
    </row>
    <row r="22" spans="2:5" x14ac:dyDescent="0.2">
      <c r="B22" s="1">
        <v>14</v>
      </c>
      <c r="C22" s="7"/>
      <c r="D22" s="6" t="s">
        <v>19</v>
      </c>
      <c r="E22" s="5"/>
    </row>
    <row r="23" spans="2:5" x14ac:dyDescent="0.2">
      <c r="B23" s="1">
        <v>15</v>
      </c>
      <c r="C23" s="6"/>
      <c r="D23" s="7"/>
      <c r="E23" s="5" t="s">
        <v>20</v>
      </c>
    </row>
    <row r="24" spans="2:5" x14ac:dyDescent="0.2">
      <c r="B24" s="1">
        <v>16</v>
      </c>
      <c r="C24" s="6"/>
      <c r="D24" s="8" t="s">
        <v>18</v>
      </c>
      <c r="E24" s="5"/>
    </row>
    <row r="25" spans="2:5" x14ac:dyDescent="0.2">
      <c r="B25" s="1">
        <v>17</v>
      </c>
      <c r="C25" s="6"/>
      <c r="D25" s="7"/>
      <c r="E25" s="6" t="s">
        <v>19</v>
      </c>
    </row>
    <row r="26" spans="2:5" x14ac:dyDescent="0.2">
      <c r="B26" s="1">
        <v>18</v>
      </c>
      <c r="C26" s="6"/>
      <c r="D26" s="6"/>
      <c r="E26" s="7"/>
    </row>
    <row r="27" spans="2:5" x14ac:dyDescent="0.2">
      <c r="B27" s="1">
        <v>19</v>
      </c>
      <c r="C27" s="6"/>
      <c r="D27" s="6"/>
      <c r="E27" s="8" t="s">
        <v>18</v>
      </c>
    </row>
    <row r="28" spans="2:5" x14ac:dyDescent="0.2">
      <c r="B28" s="1">
        <v>20</v>
      </c>
      <c r="C28" s="9"/>
      <c r="D28" s="9"/>
      <c r="E28" s="10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425D2-5FFA-4C4B-A495-A22788A789E5}">
  <dimension ref="B9:S29"/>
  <sheetViews>
    <sheetView showGridLines="0" topLeftCell="A4" zoomScale="173" workbookViewId="0">
      <selection activeCell="N15" sqref="N15"/>
    </sheetView>
  </sheetViews>
  <sheetFormatPr baseColWidth="10" defaultRowHeight="16" x14ac:dyDescent="0.2"/>
  <sheetData>
    <row r="9" spans="2:19" x14ac:dyDescent="0.2">
      <c r="B9" s="12" t="s">
        <v>24</v>
      </c>
      <c r="H9" s="12" t="s">
        <v>30</v>
      </c>
      <c r="O9" s="12" t="s">
        <v>47</v>
      </c>
    </row>
    <row r="10" spans="2:19" ht="27" customHeight="1" x14ac:dyDescent="0.2">
      <c r="B10" s="15" t="s">
        <v>28</v>
      </c>
      <c r="H10" s="16" t="s">
        <v>51</v>
      </c>
      <c r="O10" s="18" t="s">
        <v>48</v>
      </c>
      <c r="P10" s="18"/>
      <c r="Q10" s="18"/>
      <c r="R10" s="18"/>
      <c r="S10" s="18"/>
    </row>
    <row r="11" spans="2:19" x14ac:dyDescent="0.2">
      <c r="O11" s="14"/>
    </row>
    <row r="12" spans="2:19" ht="17" x14ac:dyDescent="0.25">
      <c r="B12" s="11" t="s">
        <v>26</v>
      </c>
      <c r="H12" s="11" t="s">
        <v>26</v>
      </c>
      <c r="O12" s="11" t="s">
        <v>46</v>
      </c>
    </row>
    <row r="13" spans="2:19" ht="17" x14ac:dyDescent="0.25">
      <c r="B13" s="11" t="s">
        <v>25</v>
      </c>
      <c r="H13" s="11" t="s">
        <v>35</v>
      </c>
      <c r="O13" s="11" t="s">
        <v>62</v>
      </c>
    </row>
    <row r="14" spans="2:19" ht="17" x14ac:dyDescent="0.25">
      <c r="B14" s="11" t="s">
        <v>33</v>
      </c>
      <c r="H14" s="11" t="s">
        <v>31</v>
      </c>
    </row>
    <row r="15" spans="2:19" ht="17" x14ac:dyDescent="0.25">
      <c r="O15" s="11"/>
    </row>
    <row r="16" spans="2:19" ht="17" x14ac:dyDescent="0.25">
      <c r="B16" s="13" t="s">
        <v>42</v>
      </c>
      <c r="H16" s="13" t="s">
        <v>43</v>
      </c>
      <c r="O16" s="13" t="s">
        <v>50</v>
      </c>
    </row>
    <row r="17" spans="2:15" ht="17" x14ac:dyDescent="0.25">
      <c r="B17" s="11" t="s">
        <v>21</v>
      </c>
      <c r="H17" s="11" t="s">
        <v>21</v>
      </c>
      <c r="O17" s="11" t="s">
        <v>21</v>
      </c>
    </row>
    <row r="18" spans="2:15" ht="17" x14ac:dyDescent="0.25">
      <c r="B18" s="11" t="s">
        <v>56</v>
      </c>
      <c r="H18" s="11" t="s">
        <v>38</v>
      </c>
      <c r="O18" s="11" t="s">
        <v>52</v>
      </c>
    </row>
    <row r="19" spans="2:15" ht="17" x14ac:dyDescent="0.25">
      <c r="B19" s="11" t="s">
        <v>57</v>
      </c>
      <c r="H19" s="11" t="s">
        <v>36</v>
      </c>
      <c r="O19" s="11" t="s">
        <v>53</v>
      </c>
    </row>
    <row r="20" spans="2:15" ht="17" x14ac:dyDescent="0.25">
      <c r="B20" s="11" t="s">
        <v>58</v>
      </c>
      <c r="H20" s="11" t="s">
        <v>37</v>
      </c>
      <c r="O20" s="11" t="s">
        <v>54</v>
      </c>
    </row>
    <row r="21" spans="2:15" ht="17" x14ac:dyDescent="0.25">
      <c r="B21" s="11" t="s">
        <v>59</v>
      </c>
      <c r="H21" s="11" t="s">
        <v>39</v>
      </c>
      <c r="O21" s="11" t="s">
        <v>44</v>
      </c>
    </row>
    <row r="22" spans="2:15" ht="17" x14ac:dyDescent="0.25">
      <c r="B22" s="11" t="s">
        <v>60</v>
      </c>
      <c r="H22" s="11" t="s">
        <v>40</v>
      </c>
      <c r="O22" s="11" t="s">
        <v>55</v>
      </c>
    </row>
    <row r="23" spans="2:15" ht="17" x14ac:dyDescent="0.25">
      <c r="B23" s="11" t="s">
        <v>61</v>
      </c>
      <c r="H23" s="11" t="s">
        <v>41</v>
      </c>
      <c r="O23" s="11" t="s">
        <v>22</v>
      </c>
    </row>
    <row r="24" spans="2:15" ht="17" x14ac:dyDescent="0.25">
      <c r="B24" s="11" t="s">
        <v>22</v>
      </c>
      <c r="H24" s="11" t="s">
        <v>22</v>
      </c>
      <c r="O24" s="11"/>
    </row>
    <row r="26" spans="2:15" ht="17" x14ac:dyDescent="0.25">
      <c r="B26" s="11" t="s">
        <v>27</v>
      </c>
      <c r="H26" s="11" t="s">
        <v>49</v>
      </c>
      <c r="O26" s="11" t="s">
        <v>49</v>
      </c>
    </row>
    <row r="27" spans="2:15" ht="17" x14ac:dyDescent="0.25">
      <c r="B27" s="13" t="s">
        <v>29</v>
      </c>
      <c r="H27" s="13" t="s">
        <v>34</v>
      </c>
      <c r="O27" s="13" t="s">
        <v>34</v>
      </c>
    </row>
    <row r="28" spans="2:15" ht="17" x14ac:dyDescent="0.25">
      <c r="B28" s="11" t="s">
        <v>23</v>
      </c>
      <c r="H28" s="11" t="s">
        <v>32</v>
      </c>
      <c r="O28" s="11" t="s">
        <v>45</v>
      </c>
    </row>
    <row r="29" spans="2:15" ht="17" x14ac:dyDescent="0.25">
      <c r="O29" s="11"/>
    </row>
  </sheetData>
  <mergeCells count="1">
    <mergeCell ref="O10:S10"/>
  </mergeCells>
  <pageMargins left="0.7" right="0.7" top="0.78740157499999996" bottom="0.78740157499999996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Tabelle1</vt:lpstr>
      <vt:lpstr>Tabelle6</vt:lpstr>
      <vt:lpstr>Tabelle4</vt:lpstr>
      <vt:lpstr>Tabelle5</vt:lpstr>
      <vt:lpstr>Tabelle2</vt:lpstr>
      <vt:lpstr>Tabelle3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</dc:creator>
  <cp:lastModifiedBy>2</cp:lastModifiedBy>
  <dcterms:created xsi:type="dcterms:W3CDTF">2025-12-26T07:23:27Z</dcterms:created>
  <dcterms:modified xsi:type="dcterms:W3CDTF">2026-01-09T08:07:31Z</dcterms:modified>
</cp:coreProperties>
</file>